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<sst xmlns="http://schemas.openxmlformats.org/spreadsheetml/2006/main" count="322" uniqueCount="119">
  <si>
    <t xml:space="preserve">Day</t>
  </si>
  <si>
    <t xml:space="preserve">Week</t>
  </si>
  <si>
    <t xml:space="preserve">Focus</t>
  </si>
  <si>
    <t xml:space="preserve">Learn (60m)</t>
  </si>
  <si>
    <t xml:space="preserve">Learn done</t>
  </si>
  <si>
    <t xml:space="preserve">Build (100m)</t>
  </si>
  <si>
    <t xml:space="preserve">Build done</t>
  </si>
  <si>
    <t xml:space="preserve">Log (20m)</t>
  </si>
  <si>
    <t xml:space="preserve">Log done</t>
  </si>
  <si>
    <t xml:space="preserve">Status</t>
  </si>
  <si>
    <t xml:space="preserve">XP</t>
  </si>
  <si>
    <t xml:space="preserve">Reward</t>
  </si>
  <si>
    <t xml:space="preserve">Remarks</t>
  </si>
  <si>
    <t xml:space="preserve">Day 01 · Repo setup like a company repo</t>
  </si>
  <si>
    <t xml:space="preserve">Week 1</t>
  </si>
  <si>
    <t xml:space="preserve">Why notebooks don't ship; production repo structure</t>
  </si>
  <si>
    <t xml:space="preserve">No</t>
  </si>
  <si>
    <t xml:space="preserve">Create capstone repo; move notebook code into src/ modules (data.py, train.py, predict.py)</t>
  </si>
  <si>
    <t xml:space="preserve">Engineering log: what broke, why, how you fixed it</t>
  </si>
  <si>
    <t xml:space="preserve">Queued</t>
  </si>
  <si>
    <t xml:space="preserve">Day 02 · Code quality tooling</t>
  </si>
  <si>
    <t xml:space="preserve">Linting, type hints, pytest basics</t>
  </si>
  <si>
    <t xml:space="preserve">Set up ruff + pytest; write 3 tests for your data code</t>
  </si>
  <si>
    <t xml:space="preserve">Day 03 · Docker fundamentals</t>
  </si>
  <si>
    <t xml:space="preserve">Image vs container, layers, Dockerfile, .dockerignore</t>
  </si>
  <si>
    <t xml:space="preserve">Install Docker; containerize a hello-world script; run / stop / inspect / delete</t>
  </si>
  <si>
    <t xml:space="preserve">Day 04 · Dockerize your training</t>
  </si>
  <si>
    <t xml:space="preserve">Version pinning, slim base images</t>
  </si>
  <si>
    <t xml:space="preserve">Dockerfile that runs train.py and saves a model artifact (fight the dependency errors)</t>
  </si>
  <si>
    <t xml:space="preserve">Day 05 · FastAPI serving</t>
  </si>
  <si>
    <t xml:space="preserve">Why APIs serve models, not scripts</t>
  </si>
  <si>
    <t xml:space="preserve">Build /predict + /health endpoints; test with curl</t>
  </si>
  <si>
    <t xml:space="preserve">Day 06 · Dockerize API + compose</t>
  </si>
  <si>
    <t xml:space="preserve">Container networking, volumes, env vars</t>
  </si>
  <si>
    <t xml:space="preserve">docker-compose.yml running API + Postgres together</t>
  </si>
  <si>
    <t xml:space="preserve">Day 07 · Week 1 review &amp; harden</t>
  </si>
  <si>
    <t xml:space="preserve">Multi-stage Docker builds</t>
  </si>
  <si>
    <t xml:space="preserve">Shrink image; add Pydantic validation + error handling; write week postmortem</t>
  </si>
  <si>
    <t xml:space="preserve">Full evening off, no screens</t>
  </si>
  <si>
    <t xml:space="preserve">Day 08 · MLflow tracking</t>
  </si>
  <si>
    <t xml:space="preserve">Week 2</t>
  </si>
  <si>
    <t xml:space="preserve">Why experiment tracking exists</t>
  </si>
  <si>
    <t xml:space="preserve">MLflow server in compose; instrument train.py; run 5 experiments, compare in UI</t>
  </si>
  <si>
    <t xml:space="preserve">Day 09 · MLflow Model Registry</t>
  </si>
  <si>
    <t xml:space="preserve">Model versioning &amp; the rollback story</t>
  </si>
  <si>
    <t xml:space="preserve">Register model; stages None-&gt;Staging-&gt;Production; API loads FROM registry</t>
  </si>
  <si>
    <t xml:space="preserve">Day 10 · GitHub Actions: CI</t>
  </si>
  <si>
    <t xml:space="preserve">Workflow YAML, jobs, runners</t>
  </si>
  <si>
    <t xml:space="preserve">PR pipeline: lint + tests; break it on purpose, watch it block the merge</t>
  </si>
  <si>
    <t xml:space="preserve">Day 11 · CI for ML</t>
  </si>
  <si>
    <t xml:space="preserve">Build caching to speed up CI</t>
  </si>
  <si>
    <t xml:space="preserve">Build Docker image in CI + smoke test (/health 200, /predict valid output)</t>
  </si>
  <si>
    <t xml:space="preserve">Day 12 · Secrets &amp; environments</t>
  </si>
  <si>
    <t xml:space="preserve">Why secrets never live in code</t>
  </si>
  <si>
    <t xml:space="preserve">GitHub Secrets; env-specific configs; manual approval step for deploy</t>
  </si>
  <si>
    <t xml:space="preserve">Day 13 · Branch protection + releases</t>
  </si>
  <si>
    <t xml:space="preserve">Semantic versioning; what 'release' means</t>
  </si>
  <si>
    <t xml:space="preserve">Protect main; tag v0.1.0; auto-build versioned image on release</t>
  </si>
  <si>
    <t xml:space="preserve">Day 14 · Week 2 review &amp; harden</t>
  </si>
  <si>
    <t xml:space="preserve">Test coverage reporting</t>
  </si>
  <si>
    <t xml:space="preserve">Refactor Week 1 ugliness via a proper PR; write week postmortem</t>
  </si>
  <si>
    <t xml:space="preserve">Dinner somewhere you like</t>
  </si>
  <si>
    <t xml:space="preserve">Day 15 · AWS account + IAM done right</t>
  </si>
  <si>
    <t xml:space="preserve">Week 3</t>
  </si>
  <si>
    <t xml:space="preserve">IAM users, roles, policies, least privilege</t>
  </si>
  <si>
    <t xml:space="preserve">Billing alarm FIRST ($10); create IAM user; configure AWS CLI</t>
  </si>
  <si>
    <t xml:space="preserve">Day 16 · S3 + ECR</t>
  </si>
  <si>
    <t xml:space="preserve">Buckets, prefixes, image registries</t>
  </si>
  <si>
    <t xml:space="preserve">Training data to S3; data.py reads from S3; push image to ECR</t>
  </si>
  <si>
    <t xml:space="preserve">Day 17 · SageMaker training job</t>
  </si>
  <si>
    <t xml:space="preserve">Why managed training: spot, bigger machines</t>
  </si>
  <si>
    <t xml:space="preserve">Run training as a SageMaker job with your container; artifact lands in S3</t>
  </si>
  <si>
    <t xml:space="preserve">Day 18 · SageMaker endpoint</t>
  </si>
  <si>
    <t xml:space="preserve">Endpoint vs ECS cost/latency trade-off</t>
  </si>
  <si>
    <t xml:space="preserve">Deploy real-time endpoint; invoke via boto3; DELETE the endpoint after</t>
  </si>
  <si>
    <t xml:space="preserve">Day 19 · CD: deploy from Actions</t>
  </si>
  <si>
    <t xml:space="preserve">OIDC auth GitHub-&gt;AWS (no long-lived keys)</t>
  </si>
  <si>
    <t xml:space="preserve">Merge to main -&gt; push to ECR -&gt; update endpoint. Zero manual steps</t>
  </si>
  <si>
    <t xml:space="preserve">Day 20 · Lambda + API Gateway</t>
  </si>
  <si>
    <t xml:space="preserve">When serverless fits (and when it doesn't)</t>
  </si>
  <si>
    <t xml:space="preserve">Lambda front door: auth, input validation, logging</t>
  </si>
  <si>
    <t xml:space="preserve">Day 21 · Week 3 review &amp; cost teardown</t>
  </si>
  <si>
    <t xml:space="preserve">CloudWatch logs &amp; metrics</t>
  </si>
  <si>
    <t xml:space="preserve">Audit and kill every billable resource; write week postmortem</t>
  </si>
  <si>
    <t xml:space="preserve">Buy the small thing you've eyed</t>
  </si>
  <si>
    <t xml:space="preserve">Day 22 · Airflow fundamentals</t>
  </si>
  <si>
    <t xml:space="preserve">Week 4</t>
  </si>
  <si>
    <t xml:space="preserve">DAGs, operators, retries, idempotency</t>
  </si>
  <si>
    <t xml:space="preserve">Run Airflow via compose; build and schedule a toy DAG</t>
  </si>
  <si>
    <t xml:space="preserve">Day 23 · Retraining DAG</t>
  </si>
  <si>
    <t xml:space="preserve">Conditional branching, failure alerts</t>
  </si>
  <si>
    <t xml:space="preserve">DAG: pull S3 data -&gt; validate -&gt; train -&gt; evaluate -&gt; promote if better</t>
  </si>
  <si>
    <t xml:space="preserve">Day 24 · Monitoring &amp; drift</t>
  </si>
  <si>
    <t xml:space="preserve">Data drift vs concept drift</t>
  </si>
  <si>
    <t xml:space="preserve">Log predictions; Evidently drift report; wire drift check into the DAG</t>
  </si>
  <si>
    <t xml:space="preserve">Day 25 · Load test &amp; break things</t>
  </si>
  <si>
    <t xml:space="preserve">Finding bottlenecks</t>
  </si>
  <si>
    <t xml:space="preserve">Hit API with locust; find breaking point; fix one bottleneck; postmortem</t>
  </si>
  <si>
    <t xml:space="preserve">Day 26 · Architecture doc + diagram</t>
  </si>
  <si>
    <t xml:space="preserve">How to write trade-offs</t>
  </si>
  <si>
    <t xml:space="preserve">ARCHITECTURE.md: full diagram + every trade-off you made and why</t>
  </si>
  <si>
    <t xml:space="preserve">Day 27 · Resume rewrite</t>
  </si>
  <si>
    <t xml:space="preserve">Bullet specificity beats tool lists</t>
  </si>
  <si>
    <t xml:space="preserve">Turn engineering log into 5-6 concrete bullets; polish repo README</t>
  </si>
  <si>
    <t xml:space="preserve">Day 28 · Interview prep from YOUR system</t>
  </si>
  <si>
    <t xml:space="preserve">Common MLOps interview questions</t>
  </si>
  <si>
    <t xml:space="preserve">Write answers (deploy, rollback, drift, why Docker) using your capstone</t>
  </si>
  <si>
    <t xml:space="preserve">Day 29 · Buffer: catch up</t>
  </si>
  <si>
    <t xml:space="preserve">Revisit whatever slipped</t>
  </si>
  <si>
    <t xml:space="preserve">Fix the thing that broke you (Docker networking or IAM, most likely)</t>
  </si>
  <si>
    <t xml:space="preserve">Day 30 · Buffer: round 2</t>
  </si>
  <si>
    <t xml:space="preserve">Consolidate</t>
  </si>
  <si>
    <t xml:space="preserve">Re-run load test or add a feature via the full PR flow</t>
  </si>
  <si>
    <t xml:space="preserve">Celebrate, then apply to 5 jobs</t>
  </si>
  <si>
    <t xml:space="preserve">PROGRESS</t>
  </si>
  <si>
    <t xml:space="preserve">Sub-tasks done</t>
  </si>
  <si>
    <t xml:space="preserve">Total sub-tasks</t>
  </si>
  <si>
    <t xml:space="preserve">% complete</t>
  </si>
  <si>
    <t xml:space="preserve">XP earned (10/sub-task)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</si>
</sst>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FB67B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536"/>
        <bgColor rgb="FF003366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B67B"/>
      <rgbColor rgb="FF003300"/>
      <rgbColor rgb="FF333300"/>
      <rgbColor rgb="FF993300"/>
      <rgbColor rgb="FF993366"/>
      <rgbColor rgb="FF333399"/>
      <rgbColor rgb="FF1B25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7"/>
    <col collapsed="false" customWidth="true" hidden="false" outlineLevel="0" max="8" min="8" style="0" width="34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26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2" t="s">
        <v>15</v>
      </c>
      <c r="D2" s="2" t="s">
        <v>15</v>
      </c>
      <c r="E2" s="3" t="s">
        <v>16</v>
      </c>
      <c r="F2" s="2" t="s">
        <v>17</v>
      </c>
      <c r="G2" s="3" t="s">
        <v>16</v>
      </c>
      <c r="H2" s="2" t="s">
        <v>18</v>
      </c>
      <c r="I2" s="3" t="s">
        <v>16</v>
      </c>
      <c r="J2" s="3" t="s">
        <v>19</v>
      </c>
      <c r="K2" s="3" t="n">
        <v>0</v>
      </c>
      <c r="L2" s="3"/>
      <c r="M2" s="2"/>
    </row>
    <row r="3" customFormat="false" ht="23.85" hidden="false" customHeight="false" outlineLevel="0" collapsed="false">
      <c r="A3" s="2" t="s">
        <v>20</v>
      </c>
      <c r="B3" s="3" t="s">
        <v>14</v>
      </c>
      <c r="C3" s="2" t="s">
        <v>21</v>
      </c>
      <c r="D3" s="2" t="s">
        <v>21</v>
      </c>
      <c r="E3" s="3" t="s">
        <v>16</v>
      </c>
      <c r="F3" s="2" t="s">
        <v>22</v>
      </c>
      <c r="G3" s="3" t="s">
        <v>16</v>
      </c>
      <c r="H3" s="2" t="s">
        <v>18</v>
      </c>
      <c r="I3" s="3" t="s">
        <v>16</v>
      </c>
      <c r="J3" s="3" t="s">
        <v>19</v>
      </c>
      <c r="K3" s="3" t="n">
        <v>0</v>
      </c>
      <c r="L3" s="3"/>
      <c r="M3" s="2"/>
    </row>
    <row r="4" customFormat="false" ht="23.85" hidden="false" customHeight="false" outlineLevel="0" collapsed="false">
      <c r="A4" s="2" t="s">
        <v>23</v>
      </c>
      <c r="B4" s="3" t="s">
        <v>14</v>
      </c>
      <c r="C4" s="2" t="s">
        <v>24</v>
      </c>
      <c r="D4" s="2" t="s">
        <v>24</v>
      </c>
      <c r="E4" s="3" t="s">
        <v>16</v>
      </c>
      <c r="F4" s="2" t="s">
        <v>25</v>
      </c>
      <c r="G4" s="3" t="s">
        <v>16</v>
      </c>
      <c r="H4" s="2" t="s">
        <v>18</v>
      </c>
      <c r="I4" s="3" t="s">
        <v>16</v>
      </c>
      <c r="J4" s="3" t="s">
        <v>19</v>
      </c>
      <c r="K4" s="3" t="n">
        <v>0</v>
      </c>
      <c r="L4" s="3"/>
      <c r="M4" s="2"/>
    </row>
    <row r="5" customFormat="false" ht="23.85" hidden="false" customHeight="false" outlineLevel="0" collapsed="false">
      <c r="A5" s="2" t="s">
        <v>26</v>
      </c>
      <c r="B5" s="3" t="s">
        <v>14</v>
      </c>
      <c r="C5" s="2" t="s">
        <v>27</v>
      </c>
      <c r="D5" s="2" t="s">
        <v>27</v>
      </c>
      <c r="E5" s="3" t="s">
        <v>16</v>
      </c>
      <c r="F5" s="2" t="s">
        <v>28</v>
      </c>
      <c r="G5" s="3" t="s">
        <v>16</v>
      </c>
      <c r="H5" s="2" t="s">
        <v>18</v>
      </c>
      <c r="I5" s="3" t="s">
        <v>16</v>
      </c>
      <c r="J5" s="3" t="s">
        <v>19</v>
      </c>
      <c r="K5" s="3" t="n">
        <v>0</v>
      </c>
      <c r="L5" s="3"/>
      <c r="M5" s="2"/>
    </row>
    <row r="6" customFormat="false" ht="23.85" hidden="false" customHeight="false" outlineLevel="0" collapsed="false">
      <c r="A6" s="2" t="s">
        <v>29</v>
      </c>
      <c r="B6" s="3" t="s">
        <v>14</v>
      </c>
      <c r="C6" s="2" t="s">
        <v>30</v>
      </c>
      <c r="D6" s="2" t="s">
        <v>30</v>
      </c>
      <c r="E6" s="3" t="s">
        <v>16</v>
      </c>
      <c r="F6" s="2" t="s">
        <v>31</v>
      </c>
      <c r="G6" s="3" t="s">
        <v>16</v>
      </c>
      <c r="H6" s="2" t="s">
        <v>18</v>
      </c>
      <c r="I6" s="3" t="s">
        <v>16</v>
      </c>
      <c r="J6" s="3" t="s">
        <v>19</v>
      </c>
      <c r="K6" s="3" t="n">
        <v>0</v>
      </c>
      <c r="L6" s="3"/>
      <c r="M6" s="2"/>
    </row>
    <row r="7" customFormat="false" ht="23.85" hidden="false" customHeight="false" outlineLevel="0" collapsed="false">
      <c r="A7" s="2" t="s">
        <v>32</v>
      </c>
      <c r="B7" s="3" t="s">
        <v>14</v>
      </c>
      <c r="C7" s="2" t="s">
        <v>33</v>
      </c>
      <c r="D7" s="2" t="s">
        <v>33</v>
      </c>
      <c r="E7" s="3" t="s">
        <v>16</v>
      </c>
      <c r="F7" s="2" t="s">
        <v>34</v>
      </c>
      <c r="G7" s="3" t="s">
        <v>16</v>
      </c>
      <c r="H7" s="2" t="s">
        <v>18</v>
      </c>
      <c r="I7" s="3" t="s">
        <v>16</v>
      </c>
      <c r="J7" s="3" t="s">
        <v>19</v>
      </c>
      <c r="K7" s="3" t="n">
        <v>0</v>
      </c>
      <c r="L7" s="3"/>
      <c r="M7" s="2"/>
    </row>
    <row r="8" customFormat="false" ht="23.85" hidden="false" customHeight="false" outlineLevel="0" collapsed="false">
      <c r="A8" s="2" t="s">
        <v>35</v>
      </c>
      <c r="B8" s="3" t="s">
        <v>14</v>
      </c>
      <c r="C8" s="2" t="s">
        <v>36</v>
      </c>
      <c r="D8" s="2" t="s">
        <v>36</v>
      </c>
      <c r="E8" s="3" t="s">
        <v>16</v>
      </c>
      <c r="F8" s="2" t="s">
        <v>37</v>
      </c>
      <c r="G8" s="3" t="s">
        <v>16</v>
      </c>
      <c r="H8" s="2" t="s">
        <v>18</v>
      </c>
      <c r="I8" s="3" t="s">
        <v>16</v>
      </c>
      <c r="J8" s="3" t="s">
        <v>19</v>
      </c>
      <c r="K8" s="3" t="n">
        <v>0</v>
      </c>
      <c r="L8" s="3" t="s">
        <v>38</v>
      </c>
      <c r="M8" s="2"/>
    </row>
    <row r="9" customFormat="false" ht="23.85" hidden="false" customHeight="false" outlineLevel="0" collapsed="false">
      <c r="A9" s="4" t="s">
        <v>39</v>
      </c>
      <c r="B9" s="5" t="s">
        <v>40</v>
      </c>
      <c r="C9" s="4" t="s">
        <v>41</v>
      </c>
      <c r="D9" s="4" t="s">
        <v>41</v>
      </c>
      <c r="E9" s="5" t="s">
        <v>16</v>
      </c>
      <c r="F9" s="4" t="s">
        <v>42</v>
      </c>
      <c r="G9" s="5" t="s">
        <v>16</v>
      </c>
      <c r="H9" s="4" t="s">
        <v>18</v>
      </c>
      <c r="I9" s="5" t="s">
        <v>16</v>
      </c>
      <c r="J9" s="5" t="s">
        <v>19</v>
      </c>
      <c r="K9" s="5" t="n">
        <v>0</v>
      </c>
      <c r="L9" s="5"/>
      <c r="M9" s="4"/>
    </row>
    <row r="10" customFormat="false" ht="23.85" hidden="false" customHeight="false" outlineLevel="0" collapsed="false">
      <c r="A10" s="4" t="s">
        <v>43</v>
      </c>
      <c r="B10" s="5" t="s">
        <v>40</v>
      </c>
      <c r="C10" s="4" t="s">
        <v>44</v>
      </c>
      <c r="D10" s="4" t="s">
        <v>44</v>
      </c>
      <c r="E10" s="5" t="s">
        <v>16</v>
      </c>
      <c r="F10" s="4" t="s">
        <v>45</v>
      </c>
      <c r="G10" s="5" t="s">
        <v>16</v>
      </c>
      <c r="H10" s="4" t="s">
        <v>18</v>
      </c>
      <c r="I10" s="5" t="s">
        <v>16</v>
      </c>
      <c r="J10" s="5" t="s">
        <v>19</v>
      </c>
      <c r="K10" s="5" t="n">
        <v>0</v>
      </c>
      <c r="L10" s="5"/>
      <c r="M10" s="4"/>
    </row>
    <row r="11" customFormat="false" ht="23.85" hidden="false" customHeight="false" outlineLevel="0" collapsed="false">
      <c r="A11" s="4" t="s">
        <v>46</v>
      </c>
      <c r="B11" s="5" t="s">
        <v>40</v>
      </c>
      <c r="C11" s="4" t="s">
        <v>47</v>
      </c>
      <c r="D11" s="4" t="s">
        <v>47</v>
      </c>
      <c r="E11" s="5" t="s">
        <v>16</v>
      </c>
      <c r="F11" s="4" t="s">
        <v>48</v>
      </c>
      <c r="G11" s="5" t="s">
        <v>16</v>
      </c>
      <c r="H11" s="4" t="s">
        <v>18</v>
      </c>
      <c r="I11" s="5" t="s">
        <v>16</v>
      </c>
      <c r="J11" s="5" t="s">
        <v>19</v>
      </c>
      <c r="K11" s="5" t="n">
        <v>0</v>
      </c>
      <c r="L11" s="5"/>
      <c r="M11" s="4"/>
    </row>
    <row r="12" customFormat="false" ht="23.85" hidden="false" customHeight="false" outlineLevel="0" collapsed="false">
      <c r="A12" s="4" t="s">
        <v>49</v>
      </c>
      <c r="B12" s="5" t="s">
        <v>40</v>
      </c>
      <c r="C12" s="4" t="s">
        <v>50</v>
      </c>
      <c r="D12" s="4" t="s">
        <v>50</v>
      </c>
      <c r="E12" s="5" t="s">
        <v>16</v>
      </c>
      <c r="F12" s="4" t="s">
        <v>51</v>
      </c>
      <c r="G12" s="5" t="s">
        <v>16</v>
      </c>
      <c r="H12" s="4" t="s">
        <v>18</v>
      </c>
      <c r="I12" s="5" t="s">
        <v>16</v>
      </c>
      <c r="J12" s="5" t="s">
        <v>19</v>
      </c>
      <c r="K12" s="5" t="n">
        <v>0</v>
      </c>
      <c r="L12" s="5"/>
      <c r="M12" s="4"/>
    </row>
    <row r="13" customFormat="false" ht="23.85" hidden="false" customHeight="false" outlineLevel="0" collapsed="false">
      <c r="A13" s="4" t="s">
        <v>52</v>
      </c>
      <c r="B13" s="5" t="s">
        <v>40</v>
      </c>
      <c r="C13" s="4" t="s">
        <v>53</v>
      </c>
      <c r="D13" s="4" t="s">
        <v>53</v>
      </c>
      <c r="E13" s="5" t="s">
        <v>16</v>
      </c>
      <c r="F13" s="4" t="s">
        <v>54</v>
      </c>
      <c r="G13" s="5" t="s">
        <v>16</v>
      </c>
      <c r="H13" s="4" t="s">
        <v>18</v>
      </c>
      <c r="I13" s="5" t="s">
        <v>16</v>
      </c>
      <c r="J13" s="5" t="s">
        <v>19</v>
      </c>
      <c r="K13" s="5" t="n">
        <v>0</v>
      </c>
      <c r="L13" s="5"/>
      <c r="M13" s="4"/>
    </row>
    <row r="14" customFormat="false" ht="23.85" hidden="false" customHeight="false" outlineLevel="0" collapsed="false">
      <c r="A14" s="4" t="s">
        <v>55</v>
      </c>
      <c r="B14" s="5" t="s">
        <v>40</v>
      </c>
      <c r="C14" s="4" t="s">
        <v>56</v>
      </c>
      <c r="D14" s="4" t="s">
        <v>56</v>
      </c>
      <c r="E14" s="5" t="s">
        <v>16</v>
      </c>
      <c r="F14" s="4" t="s">
        <v>57</v>
      </c>
      <c r="G14" s="5" t="s">
        <v>16</v>
      </c>
      <c r="H14" s="4" t="s">
        <v>18</v>
      </c>
      <c r="I14" s="5" t="s">
        <v>16</v>
      </c>
      <c r="J14" s="5" t="s">
        <v>19</v>
      </c>
      <c r="K14" s="5" t="n">
        <v>0</v>
      </c>
      <c r="L14" s="5"/>
      <c r="M14" s="4"/>
    </row>
    <row r="15" customFormat="false" ht="23.85" hidden="false" customHeight="false" outlineLevel="0" collapsed="false">
      <c r="A15" s="4" t="s">
        <v>58</v>
      </c>
      <c r="B15" s="5" t="s">
        <v>40</v>
      </c>
      <c r="C15" s="4" t="s">
        <v>59</v>
      </c>
      <c r="D15" s="4" t="s">
        <v>59</v>
      </c>
      <c r="E15" s="5" t="s">
        <v>16</v>
      </c>
      <c r="F15" s="4" t="s">
        <v>60</v>
      </c>
      <c r="G15" s="5" t="s">
        <v>16</v>
      </c>
      <c r="H15" s="4" t="s">
        <v>18</v>
      </c>
      <c r="I15" s="5" t="s">
        <v>16</v>
      </c>
      <c r="J15" s="5" t="s">
        <v>19</v>
      </c>
      <c r="K15" s="5" t="n">
        <v>0</v>
      </c>
      <c r="L15" s="5" t="s">
        <v>61</v>
      </c>
      <c r="M15" s="4"/>
    </row>
    <row r="16" customFormat="false" ht="23.85" hidden="false" customHeight="false" outlineLevel="0" collapsed="false">
      <c r="A16" s="2" t="s">
        <v>62</v>
      </c>
      <c r="B16" s="3" t="s">
        <v>63</v>
      </c>
      <c r="C16" s="2" t="s">
        <v>64</v>
      </c>
      <c r="D16" s="2" t="s">
        <v>64</v>
      </c>
      <c r="E16" s="3" t="s">
        <v>16</v>
      </c>
      <c r="F16" s="2" t="s">
        <v>65</v>
      </c>
      <c r="G16" s="3" t="s">
        <v>16</v>
      </c>
      <c r="H16" s="2" t="s">
        <v>18</v>
      </c>
      <c r="I16" s="3" t="s">
        <v>16</v>
      </c>
      <c r="J16" s="3" t="s">
        <v>19</v>
      </c>
      <c r="K16" s="3" t="n">
        <v>0</v>
      </c>
      <c r="L16" s="3"/>
      <c r="M16" s="2"/>
    </row>
    <row r="17" customFormat="false" ht="23.85" hidden="false" customHeight="false" outlineLevel="0" collapsed="false">
      <c r="A17" s="2" t="s">
        <v>66</v>
      </c>
      <c r="B17" s="3" t="s">
        <v>63</v>
      </c>
      <c r="C17" s="2" t="s">
        <v>67</v>
      </c>
      <c r="D17" s="2" t="s">
        <v>67</v>
      </c>
      <c r="E17" s="3" t="s">
        <v>16</v>
      </c>
      <c r="F17" s="2" t="s">
        <v>68</v>
      </c>
      <c r="G17" s="3" t="s">
        <v>16</v>
      </c>
      <c r="H17" s="2" t="s">
        <v>18</v>
      </c>
      <c r="I17" s="3" t="s">
        <v>16</v>
      </c>
      <c r="J17" s="3" t="s">
        <v>19</v>
      </c>
      <c r="K17" s="3" t="n">
        <v>0</v>
      </c>
      <c r="L17" s="3"/>
      <c r="M17" s="2"/>
    </row>
    <row r="18" customFormat="false" ht="23.85" hidden="false" customHeight="false" outlineLevel="0" collapsed="false">
      <c r="A18" s="2" t="s">
        <v>69</v>
      </c>
      <c r="B18" s="3" t="s">
        <v>63</v>
      </c>
      <c r="C18" s="2" t="s">
        <v>70</v>
      </c>
      <c r="D18" s="2" t="s">
        <v>70</v>
      </c>
      <c r="E18" s="3" t="s">
        <v>16</v>
      </c>
      <c r="F18" s="2" t="s">
        <v>71</v>
      </c>
      <c r="G18" s="3" t="s">
        <v>16</v>
      </c>
      <c r="H18" s="2" t="s">
        <v>18</v>
      </c>
      <c r="I18" s="3" t="s">
        <v>16</v>
      </c>
      <c r="J18" s="3" t="s">
        <v>19</v>
      </c>
      <c r="K18" s="3" t="n">
        <v>0</v>
      </c>
      <c r="L18" s="3"/>
      <c r="M18" s="2"/>
    </row>
    <row r="19" customFormat="false" ht="23.85" hidden="false" customHeight="false" outlineLevel="0" collapsed="false">
      <c r="A19" s="2" t="s">
        <v>72</v>
      </c>
      <c r="B19" s="3" t="s">
        <v>63</v>
      </c>
      <c r="C19" s="2" t="s">
        <v>73</v>
      </c>
      <c r="D19" s="2" t="s">
        <v>73</v>
      </c>
      <c r="E19" s="3" t="s">
        <v>16</v>
      </c>
      <c r="F19" s="2" t="s">
        <v>74</v>
      </c>
      <c r="G19" s="3" t="s">
        <v>16</v>
      </c>
      <c r="H19" s="2" t="s">
        <v>18</v>
      </c>
      <c r="I19" s="3" t="s">
        <v>16</v>
      </c>
      <c r="J19" s="3" t="s">
        <v>19</v>
      </c>
      <c r="K19" s="3" t="n">
        <v>0</v>
      </c>
      <c r="L19" s="3"/>
      <c r="M19" s="2"/>
    </row>
    <row r="20" customFormat="false" ht="23.85" hidden="false" customHeight="false" outlineLevel="0" collapsed="false">
      <c r="A20" s="2" t="s">
        <v>75</v>
      </c>
      <c r="B20" s="3" t="s">
        <v>63</v>
      </c>
      <c r="C20" s="2" t="s">
        <v>76</v>
      </c>
      <c r="D20" s="2" t="s">
        <v>76</v>
      </c>
      <c r="E20" s="3" t="s">
        <v>16</v>
      </c>
      <c r="F20" s="2" t="s">
        <v>77</v>
      </c>
      <c r="G20" s="3" t="s">
        <v>16</v>
      </c>
      <c r="H20" s="2" t="s">
        <v>18</v>
      </c>
      <c r="I20" s="3" t="s">
        <v>16</v>
      </c>
      <c r="J20" s="3" t="s">
        <v>19</v>
      </c>
      <c r="K20" s="3" t="n">
        <v>0</v>
      </c>
      <c r="L20" s="3"/>
      <c r="M20" s="2"/>
    </row>
    <row r="21" customFormat="false" ht="23.85" hidden="false" customHeight="false" outlineLevel="0" collapsed="false">
      <c r="A21" s="2" t="s">
        <v>78</v>
      </c>
      <c r="B21" s="3" t="s">
        <v>63</v>
      </c>
      <c r="C21" s="2" t="s">
        <v>79</v>
      </c>
      <c r="D21" s="2" t="s">
        <v>79</v>
      </c>
      <c r="E21" s="3" t="s">
        <v>16</v>
      </c>
      <c r="F21" s="2" t="s">
        <v>80</v>
      </c>
      <c r="G21" s="3" t="s">
        <v>16</v>
      </c>
      <c r="H21" s="2" t="s">
        <v>18</v>
      </c>
      <c r="I21" s="3" t="s">
        <v>16</v>
      </c>
      <c r="J21" s="3" t="s">
        <v>19</v>
      </c>
      <c r="K21" s="3" t="n">
        <v>0</v>
      </c>
      <c r="L21" s="3"/>
      <c r="M21" s="2"/>
    </row>
    <row r="22" customFormat="false" ht="23.85" hidden="false" customHeight="false" outlineLevel="0" collapsed="false">
      <c r="A22" s="2" t="s">
        <v>81</v>
      </c>
      <c r="B22" s="3" t="s">
        <v>63</v>
      </c>
      <c r="C22" s="2" t="s">
        <v>82</v>
      </c>
      <c r="D22" s="2" t="s">
        <v>82</v>
      </c>
      <c r="E22" s="3" t="s">
        <v>16</v>
      </c>
      <c r="F22" s="2" t="s">
        <v>83</v>
      </c>
      <c r="G22" s="3" t="s">
        <v>16</v>
      </c>
      <c r="H22" s="2" t="s">
        <v>18</v>
      </c>
      <c r="I22" s="3" t="s">
        <v>16</v>
      </c>
      <c r="J22" s="3" t="s">
        <v>19</v>
      </c>
      <c r="K22" s="3" t="n">
        <v>0</v>
      </c>
      <c r="L22" s="3" t="s">
        <v>84</v>
      </c>
      <c r="M22" s="2"/>
    </row>
    <row r="23" customFormat="false" ht="23.85" hidden="false" customHeight="false" outlineLevel="0" collapsed="false">
      <c r="A23" s="4" t="s">
        <v>85</v>
      </c>
      <c r="B23" s="5" t="s">
        <v>86</v>
      </c>
      <c r="C23" s="4" t="s">
        <v>87</v>
      </c>
      <c r="D23" s="4" t="s">
        <v>87</v>
      </c>
      <c r="E23" s="5" t="s">
        <v>16</v>
      </c>
      <c r="F23" s="4" t="s">
        <v>88</v>
      </c>
      <c r="G23" s="5" t="s">
        <v>16</v>
      </c>
      <c r="H23" s="4" t="s">
        <v>18</v>
      </c>
      <c r="I23" s="5" t="s">
        <v>16</v>
      </c>
      <c r="J23" s="5" t="s">
        <v>19</v>
      </c>
      <c r="K23" s="5" t="n">
        <v>0</v>
      </c>
      <c r="L23" s="5"/>
      <c r="M23" s="4"/>
    </row>
    <row r="24" customFormat="false" ht="23.85" hidden="false" customHeight="false" outlineLevel="0" collapsed="false">
      <c r="A24" s="4" t="s">
        <v>89</v>
      </c>
      <c r="B24" s="5" t="s">
        <v>86</v>
      </c>
      <c r="C24" s="4" t="s">
        <v>90</v>
      </c>
      <c r="D24" s="4" t="s">
        <v>90</v>
      </c>
      <c r="E24" s="5" t="s">
        <v>16</v>
      </c>
      <c r="F24" s="4" t="s">
        <v>91</v>
      </c>
      <c r="G24" s="5" t="s">
        <v>16</v>
      </c>
      <c r="H24" s="4" t="s">
        <v>18</v>
      </c>
      <c r="I24" s="5" t="s">
        <v>16</v>
      </c>
      <c r="J24" s="5" t="s">
        <v>19</v>
      </c>
      <c r="K24" s="5" t="n">
        <v>0</v>
      </c>
      <c r="L24" s="5"/>
      <c r="M24" s="4"/>
    </row>
    <row r="25" customFormat="false" ht="23.85" hidden="false" customHeight="false" outlineLevel="0" collapsed="false">
      <c r="A25" s="4" t="s">
        <v>92</v>
      </c>
      <c r="B25" s="5" t="s">
        <v>86</v>
      </c>
      <c r="C25" s="4" t="s">
        <v>93</v>
      </c>
      <c r="D25" s="4" t="s">
        <v>93</v>
      </c>
      <c r="E25" s="5" t="s">
        <v>16</v>
      </c>
      <c r="F25" s="4" t="s">
        <v>94</v>
      </c>
      <c r="G25" s="5" t="s">
        <v>16</v>
      </c>
      <c r="H25" s="4" t="s">
        <v>18</v>
      </c>
      <c r="I25" s="5" t="s">
        <v>16</v>
      </c>
      <c r="J25" s="5" t="s">
        <v>19</v>
      </c>
      <c r="K25" s="5" t="n">
        <v>0</v>
      </c>
      <c r="L25" s="5"/>
      <c r="M25" s="4"/>
    </row>
    <row r="26" customFormat="false" ht="23.85" hidden="false" customHeight="false" outlineLevel="0" collapsed="false">
      <c r="A26" s="4" t="s">
        <v>95</v>
      </c>
      <c r="B26" s="5" t="s">
        <v>86</v>
      </c>
      <c r="C26" s="4" t="s">
        <v>96</v>
      </c>
      <c r="D26" s="4" t="s">
        <v>96</v>
      </c>
      <c r="E26" s="5" t="s">
        <v>16</v>
      </c>
      <c r="F26" s="4" t="s">
        <v>97</v>
      </c>
      <c r="G26" s="5" t="s">
        <v>16</v>
      </c>
      <c r="H26" s="4" t="s">
        <v>18</v>
      </c>
      <c r="I26" s="5" t="s">
        <v>16</v>
      </c>
      <c r="J26" s="5" t="s">
        <v>19</v>
      </c>
      <c r="K26" s="5" t="n">
        <v>0</v>
      </c>
      <c r="L26" s="5"/>
      <c r="M26" s="4"/>
    </row>
    <row r="27" customFormat="false" ht="23.85" hidden="false" customHeight="false" outlineLevel="0" collapsed="false">
      <c r="A27" s="4" t="s">
        <v>98</v>
      </c>
      <c r="B27" s="5" t="s">
        <v>86</v>
      </c>
      <c r="C27" s="4" t="s">
        <v>99</v>
      </c>
      <c r="D27" s="4" t="s">
        <v>99</v>
      </c>
      <c r="E27" s="5" t="s">
        <v>16</v>
      </c>
      <c r="F27" s="4" t="s">
        <v>100</v>
      </c>
      <c r="G27" s="5" t="s">
        <v>16</v>
      </c>
      <c r="H27" s="4" t="s">
        <v>18</v>
      </c>
      <c r="I27" s="5" t="s">
        <v>16</v>
      </c>
      <c r="J27" s="5" t="s">
        <v>19</v>
      </c>
      <c r="K27" s="5" t="n">
        <v>0</v>
      </c>
      <c r="L27" s="5"/>
      <c r="M27" s="4"/>
    </row>
    <row r="28" customFormat="false" ht="23.85" hidden="false" customHeight="false" outlineLevel="0" collapsed="false">
      <c r="A28" s="4" t="s">
        <v>101</v>
      </c>
      <c r="B28" s="5" t="s">
        <v>86</v>
      </c>
      <c r="C28" s="4" t="s">
        <v>102</v>
      </c>
      <c r="D28" s="4" t="s">
        <v>102</v>
      </c>
      <c r="E28" s="5" t="s">
        <v>16</v>
      </c>
      <c r="F28" s="4" t="s">
        <v>103</v>
      </c>
      <c r="G28" s="5" t="s">
        <v>16</v>
      </c>
      <c r="H28" s="4" t="s">
        <v>18</v>
      </c>
      <c r="I28" s="5" t="s">
        <v>16</v>
      </c>
      <c r="J28" s="5" t="s">
        <v>19</v>
      </c>
      <c r="K28" s="5" t="n">
        <v>0</v>
      </c>
      <c r="L28" s="5"/>
      <c r="M28" s="4"/>
    </row>
    <row r="29" customFormat="false" ht="23.85" hidden="false" customHeight="false" outlineLevel="0" collapsed="false">
      <c r="A29" s="4" t="s">
        <v>104</v>
      </c>
      <c r="B29" s="5" t="s">
        <v>86</v>
      </c>
      <c r="C29" s="4" t="s">
        <v>105</v>
      </c>
      <c r="D29" s="4" t="s">
        <v>105</v>
      </c>
      <c r="E29" s="5" t="s">
        <v>16</v>
      </c>
      <c r="F29" s="4" t="s">
        <v>106</v>
      </c>
      <c r="G29" s="5" t="s">
        <v>16</v>
      </c>
      <c r="H29" s="4" t="s">
        <v>18</v>
      </c>
      <c r="I29" s="5" t="s">
        <v>16</v>
      </c>
      <c r="J29" s="5" t="s">
        <v>19</v>
      </c>
      <c r="K29" s="5" t="n">
        <v>0</v>
      </c>
      <c r="L29" s="5"/>
      <c r="M29" s="4"/>
    </row>
    <row r="30" customFormat="false" ht="23.85" hidden="false" customHeight="false" outlineLevel="0" collapsed="false">
      <c r="A30" s="4" t="s">
        <v>107</v>
      </c>
      <c r="B30" s="5" t="s">
        <v>86</v>
      </c>
      <c r="C30" s="4" t="s">
        <v>108</v>
      </c>
      <c r="D30" s="4" t="s">
        <v>108</v>
      </c>
      <c r="E30" s="5" t="s">
        <v>16</v>
      </c>
      <c r="F30" s="4" t="s">
        <v>109</v>
      </c>
      <c r="G30" s="5" t="s">
        <v>16</v>
      </c>
      <c r="H30" s="4" t="s">
        <v>18</v>
      </c>
      <c r="I30" s="5" t="s">
        <v>16</v>
      </c>
      <c r="J30" s="5" t="s">
        <v>19</v>
      </c>
      <c r="K30" s="5" t="n">
        <v>0</v>
      </c>
      <c r="L30" s="5"/>
      <c r="M30" s="4"/>
    </row>
    <row r="31" customFormat="false" ht="23.85" hidden="false" customHeight="false" outlineLevel="0" collapsed="false">
      <c r="A31" s="4" t="s">
        <v>110</v>
      </c>
      <c r="B31" s="5" t="s">
        <v>86</v>
      </c>
      <c r="C31" s="4" t="s">
        <v>111</v>
      </c>
      <c r="D31" s="4" t="s">
        <v>111</v>
      </c>
      <c r="E31" s="5" t="s">
        <v>16</v>
      </c>
      <c r="F31" s="4" t="s">
        <v>112</v>
      </c>
      <c r="G31" s="5" t="s">
        <v>16</v>
      </c>
      <c r="H31" s="4" t="s">
        <v>18</v>
      </c>
      <c r="I31" s="5" t="s">
        <v>16</v>
      </c>
      <c r="J31" s="5" t="s">
        <v>19</v>
      </c>
      <c r="K31" s="5" t="n">
        <v>0</v>
      </c>
      <c r="L31" s="5" t="s">
        <v>113</v>
      </c>
      <c r="M31" s="4"/>
    </row>
    <row r="33" customFormat="false" ht="15" hidden="false" customHeight="false" outlineLevel="0" collapsed="false">
      <c r="A33" s="6" t="s">
        <v>114</v>
      </c>
    </row>
    <row r="34" customFormat="false" ht="15" hidden="false" customHeight="false" outlineLevel="0" collapsed="false">
      <c r="A34" s="7" t="s">
        <v>115</v>
      </c>
      <c r="B34" s="8" t="n">
        <f aca="false">COUNTIF(E2:E31,"Yes")+COUNTIF(G2:G31,"Yes")+COUNTIF(I2:I31,"Yes")</f>
        <v>0</v>
      </c>
    </row>
    <row r="35" customFormat="false" ht="15" hidden="false" customHeight="false" outlineLevel="0" collapsed="false">
      <c r="A35" s="7" t="s">
        <v>116</v>
      </c>
      <c r="B35" s="9" t="n">
        <v>90</v>
      </c>
    </row>
    <row r="36" customFormat="false" ht="15" hidden="false" customHeight="false" outlineLevel="0" collapsed="false">
      <c r="A36" s="7" t="s">
        <v>117</v>
      </c>
      <c r="B36" s="10" t="n">
        <f aca="false">B34/B35</f>
        <v>0</v>
      </c>
    </row>
    <row r="37" customFormat="false" ht="15" hidden="false" customHeight="false" outlineLevel="0" collapsed="false">
      <c r="A37" s="7" t="s">
        <v>118</v>
      </c>
      <c r="B37" s="8" t="n">
        <f aca="false">B34*10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2026-06-16T15:39:45Z</dcterms:created>
  <dc:creator>openpyxl</dc:creator>
  <dc:description/>
  <dc:language>en-US</dc:language>
  <cp:lastModifiedBy/>
  <dcterms:modified xsi:type="dcterms:W3CDTF">2026-06-16T15:39:45Z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